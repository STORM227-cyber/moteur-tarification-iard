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ibrahimbello/Desktop/Projet tarification 2026/"/>
    </mc:Choice>
  </mc:AlternateContent>
  <xr:revisionPtr revIDLastSave="0" documentId="13_ncr:1_{37A7F39C-B5D3-E740-BFDA-C99C0BA9D49F}" xr6:coauthVersionLast="47" xr6:coauthVersionMax="47" xr10:uidLastSave="{00000000-0000-0000-0000-000000000000}"/>
  <bookViews>
    <workbookView xWindow="0" yWindow="660" windowWidth="29400" windowHeight="17220" tabRatio="500" xr2:uid="{00000000-000D-0000-FFFF-FFFF00000000}"/>
  </bookViews>
  <sheets>
    <sheet name="Tableau de bord" sheetId="1" r:id="rId1"/>
    <sheet name="Suivi des phases" sheetId="2" r:id="rId2"/>
    <sheet name="Journal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" i="2" l="1"/>
  <c r="G10" i="2"/>
  <c r="F10" i="2"/>
  <c r="E10" i="2"/>
  <c r="G9" i="2"/>
  <c r="F9" i="2"/>
  <c r="E9" i="2"/>
  <c r="G8" i="2"/>
  <c r="F8" i="2"/>
  <c r="E8" i="2"/>
  <c r="G7" i="2"/>
  <c r="F7" i="2"/>
  <c r="E7" i="2"/>
  <c r="G6" i="2"/>
  <c r="F6" i="2"/>
  <c r="E6" i="2"/>
  <c r="G5" i="2"/>
  <c r="F5" i="2"/>
  <c r="E5" i="2"/>
  <c r="G4" i="2"/>
  <c r="F4" i="2"/>
  <c r="E4" i="2"/>
  <c r="E11" i="2" s="1"/>
  <c r="B5" i="1" s="1"/>
  <c r="B9" i="1"/>
  <c r="B6" i="1"/>
  <c r="F11" i="2" l="1"/>
  <c r="B7" i="1" s="1"/>
  <c r="B8" i="1" s="1"/>
</calcChain>
</file>

<file path=xl/sharedStrings.xml><?xml version="1.0" encoding="utf-8"?>
<sst xmlns="http://schemas.openxmlformats.org/spreadsheetml/2006/main" count="55" uniqueCount="47">
  <si>
    <t>Moteur de tarification IARD  -  Tableau de bord</t>
  </si>
  <si>
    <t>Date de debut du projet</t>
  </si>
  <si>
    <t>(modifiable : recalcule les echeances)</t>
  </si>
  <si>
    <t>Avancement global</t>
  </si>
  <si>
    <t>Heures estimees (total)</t>
  </si>
  <si>
    <t>Heures realisees (total)</t>
  </si>
  <si>
    <t>Heures restantes</t>
  </si>
  <si>
    <t>Phases terminees (/ 7)</t>
  </si>
  <si>
    <t>Suivi des phases</t>
  </si>
  <si>
    <t>Phase</t>
  </si>
  <si>
    <t>Objectif / Livrable</t>
  </si>
  <si>
    <t>Heures estimees</t>
  </si>
  <si>
    <t>Statut</t>
  </si>
  <si>
    <t>% avancement</t>
  </si>
  <si>
    <t>Heures realisees</t>
  </si>
  <si>
    <t>Echeance prevue</t>
  </si>
  <si>
    <t>Semaines (cumul)</t>
  </si>
  <si>
    <t>Phase 0</t>
  </si>
  <si>
    <t>Cadrage &amp; socle technique : repo, brief, chargement des donnees</t>
  </si>
  <si>
    <t>A faire</t>
  </si>
  <si>
    <t>Phase 1</t>
  </si>
  <si>
    <t>EDA &amp; comprehension metier</t>
  </si>
  <si>
    <t>Phase 2</t>
  </si>
  <si>
    <t>GLM, le socle actuariel</t>
  </si>
  <si>
    <t>Phase 3</t>
  </si>
  <si>
    <t>Machine learning &amp; benchmark</t>
  </si>
  <si>
    <t>Phase 4</t>
  </si>
  <si>
    <t>Phase 5</t>
  </si>
  <si>
    <t>Phase 6</t>
  </si>
  <si>
    <t>Packaging &amp; valorisation</t>
  </si>
  <si>
    <t>TOTAL</t>
  </si>
  <si>
    <t>Journal des sessions</t>
  </si>
  <si>
    <t>Note chaque session ici. Les heures se cumulent automatiquement dans le suivi et le tableau de bord.</t>
  </si>
  <si>
    <t>Date</t>
  </si>
  <si>
    <t>Tache</t>
  </si>
  <si>
    <t>Heures</t>
  </si>
  <si>
    <t>Notes</t>
  </si>
  <si>
    <t xml:space="preserve">Appli &amp; mise en production </t>
  </si>
  <si>
    <t xml:space="preserve">Explicabilite &amp; equite </t>
  </si>
  <si>
    <t>Socle technique : repo, structure, venv, chargement donnees freMTPL2</t>
  </si>
  <si>
    <t>Repo public en ligne (moteur-tarification-iard), structure projet, venv + requirements, script load_data reproductible, portefeuille 678013 polices charge en Parquet</t>
  </si>
  <si>
    <t>Termine</t>
  </si>
  <si>
    <t>EDA : integrite donnees, exposition, frequence, severite (queue epaisse)</t>
  </si>
  <si>
    <t>Notebook EDA documente. Frequence 0.1007, offset justifie. Pas d'exces de zeros : ZIP ecarte. Severite : skewness 116.6, top 1% = 37.1% de la charge. BUG denominateur cout moyen : corriger via ClaimNbSev.</t>
  </si>
  <si>
    <t>En cours</t>
  </si>
  <si>
    <t>Correction denominateur (ClaimNbSev), notebook au propre, decomposition prime pure</t>
  </si>
  <si>
    <t>Prime pure ref 167.11 EUR/annee-police. Frequence sur ClaimNb, severite sur ClaimNbSev, facteur correctif 0.732 a la recombinaison.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</si>
</sst>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charset val="1"/>
    </font>
    <font>
      <b/>
      <sz val="16"/>
      <color rgb="FF1F4E79"/>
      <name val="Arial"/>
      <family val="2"/>
    </font>
    <font>
      <b/>
      <sz val="11"/>
      <color rgb="FF000000"/>
      <name val="Arial"/>
      <family val="2"/>
    </font>
    <font>
      <b/>
      <sz val="11"/>
      <color rgb="FF0000FF"/>
      <name val="Arial"/>
      <family val="2"/>
    </font>
    <font>
      <sz val="9"/>
      <color rgb="FF808080"/>
      <name val="Arial"/>
      <family val="2"/>
    </font>
    <font>
      <b/>
      <sz val="12"/>
      <color rgb="FF008000"/>
      <name val="Arial"/>
      <family val="2"/>
    </font>
    <font>
      <b/>
      <sz val="14"/>
      <color rgb="FF1F4E79"/>
      <name val="Arial"/>
      <family val="2"/>
    </font>
    <font>
      <b/>
      <sz val="11"/>
      <color rgb="FFFFFFFF"/>
      <name val="Arial"/>
      <family val="2"/>
    </font>
    <font>
      <sz val="11"/>
      <color rgb="FF0000FF"/>
      <name val="Arial"/>
      <family val="2"/>
    </font>
    <font>
      <sz val="11"/>
      <color rgb="FF008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14" fontId="3" fillId="2" borderId="1" xfId="0" applyNumberFormat="1" applyFont="1" applyFill="1" applyBorder="1"/>
    <xf numFmtId="0" fontId="4" fillId="0" borderId="0" xfId="0" applyFont="1"/>
    <xf numFmtId="0" fontId="2" fillId="3" borderId="1" xfId="0" applyFont="1" applyFill="1" applyBorder="1"/>
    <xf numFmtId="9" fontId="5" fillId="4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0" fillId="4" borderId="1" xfId="0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/>
    </xf>
    <xf numFmtId="14" fontId="0" fillId="3" borderId="1" xfId="0" applyNumberFormat="1" applyFill="1" applyBorder="1"/>
    <xf numFmtId="0" fontId="0" fillId="3" borderId="1" xfId="0" applyFill="1" applyBorder="1"/>
    <xf numFmtId="164" fontId="0" fillId="3" borderId="1" xfId="0" applyNumberFormat="1" applyFill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% avancement par phase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'Suivi des phases'!$E$3</c:f>
              <c:strCache>
                <c:ptCount val="1"/>
                <c:pt idx="0">
                  <c:v>% avancement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'Suivi des phases'!$A$4:$A$10</c:f>
              <c:strCache>
                <c:ptCount val="7"/>
                <c:pt idx="0">
                  <c:v>Phase 0</c:v>
                </c:pt>
                <c:pt idx="1">
                  <c:v>Phase 1</c:v>
                </c:pt>
                <c:pt idx="2">
                  <c:v>Phase 2</c:v>
                </c:pt>
                <c:pt idx="3">
                  <c:v>Phase 3</c:v>
                </c:pt>
                <c:pt idx="4">
                  <c:v>Phase 4</c:v>
                </c:pt>
                <c:pt idx="5">
                  <c:v>Phase 5</c:v>
                </c:pt>
                <c:pt idx="6">
                  <c:v>Phase 6</c:v>
                </c:pt>
              </c:strCache>
            </c:strRef>
          </c:cat>
          <c:val>
            <c:numRef>
              <c:f>'Suivi des phases'!$E$4:$E$10</c:f>
              <c:numCache>
                <c:formatCode>0%</c:formatCode>
                <c:ptCount val="7"/>
                <c:pt idx="0">
                  <c:v>1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1-BC48-BE39-F9DC24710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205286"/>
        <c:axId val="94319087"/>
      </c:barChart>
      <c:catAx>
        <c:axId val="452052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FR"/>
          </a:p>
        </c:txPr>
        <c:crossAx val="94319087"/>
        <c:crosses val="autoZero"/>
        <c:auto val="1"/>
        <c:lblAlgn val="ctr"/>
        <c:lblOffset val="100"/>
        <c:noMultiLvlLbl val="0"/>
      </c:catAx>
      <c:valAx>
        <c:axId val="943190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FR"/>
          </a:p>
        </c:txPr>
        <c:crossAx val="452052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Heures estimees vs realisees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'Suivi des phases'!$C$3</c:f>
              <c:strCache>
                <c:ptCount val="1"/>
                <c:pt idx="0">
                  <c:v>Heures estimees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'Suivi des phases'!$A$4:$A$10</c:f>
              <c:strCache>
                <c:ptCount val="7"/>
                <c:pt idx="0">
                  <c:v>Phase 0</c:v>
                </c:pt>
                <c:pt idx="1">
                  <c:v>Phase 1</c:v>
                </c:pt>
                <c:pt idx="2">
                  <c:v>Phase 2</c:v>
                </c:pt>
                <c:pt idx="3">
                  <c:v>Phase 3</c:v>
                </c:pt>
                <c:pt idx="4">
                  <c:v>Phase 4</c:v>
                </c:pt>
                <c:pt idx="5">
                  <c:v>Phase 5</c:v>
                </c:pt>
                <c:pt idx="6">
                  <c:v>Phase 6</c:v>
                </c:pt>
              </c:strCache>
            </c:strRef>
          </c:cat>
          <c:val>
            <c:numRef>
              <c:f>'Suivi des phases'!$C$4:$C$10</c:f>
              <c:numCache>
                <c:formatCode>General</c:formatCode>
                <c:ptCount val="7"/>
                <c:pt idx="0">
                  <c:v>15</c:v>
                </c:pt>
                <c:pt idx="1">
                  <c:v>40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C-6143-8DC6-0F1698A6A961}"/>
            </c:ext>
          </c:extLst>
        </c:ser>
        <c:ser>
          <c:idx val="1"/>
          <c:order val="1"/>
          <c:tx>
            <c:strRef>
              <c:f>'Suivi des phases'!$F$3</c:f>
              <c:strCache>
                <c:ptCount val="1"/>
                <c:pt idx="0">
                  <c:v>Heures realisees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'Suivi des phases'!$A$4:$A$10</c:f>
              <c:strCache>
                <c:ptCount val="7"/>
                <c:pt idx="0">
                  <c:v>Phase 0</c:v>
                </c:pt>
                <c:pt idx="1">
                  <c:v>Phase 1</c:v>
                </c:pt>
                <c:pt idx="2">
                  <c:v>Phase 2</c:v>
                </c:pt>
                <c:pt idx="3">
                  <c:v>Phase 3</c:v>
                </c:pt>
                <c:pt idx="4">
                  <c:v>Phase 4</c:v>
                </c:pt>
                <c:pt idx="5">
                  <c:v>Phase 5</c:v>
                </c:pt>
                <c:pt idx="6">
                  <c:v>Phase 6</c:v>
                </c:pt>
              </c:strCache>
            </c:strRef>
          </c:cat>
          <c:val>
            <c:numRef>
              <c:f>'Suivi des phases'!$F$4:$F$10</c:f>
              <c:numCache>
                <c:formatCode>General</c:formatCode>
                <c:ptCount val="7"/>
                <c:pt idx="0">
                  <c:v>2</c:v>
                </c:pt>
                <c:pt idx="1">
                  <c:v>3.2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2C-6143-8DC6-0F1698A6A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590282"/>
        <c:axId val="7172894"/>
      </c:barChart>
      <c:catAx>
        <c:axId val="775902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FR"/>
          </a:p>
        </c:txPr>
        <c:crossAx val="7172894"/>
        <c:crosses val="autoZero"/>
        <c:auto val="1"/>
        <c:lblAlgn val="ctr"/>
        <c:lblOffset val="100"/>
        <c:noMultiLvlLbl val="0"/>
      </c:catAx>
      <c:valAx>
        <c:axId val="71728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FR"/>
          </a:p>
        </c:txPr>
        <c:crossAx val="775902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131040</xdr:rowOff>
    </xdr:from>
    <xdr:to>
      <xdr:col>4</xdr:col>
      <xdr:colOff>465840</xdr:colOff>
      <xdr:row>23</xdr:row>
      <xdr:rowOff>163440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26</xdr:row>
      <xdr:rowOff>131040</xdr:rowOff>
    </xdr:from>
    <xdr:to>
      <xdr:col>4</xdr:col>
      <xdr:colOff>465840</xdr:colOff>
      <xdr:row>40</xdr:row>
      <xdr:rowOff>163800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showGridLines="0" tabSelected="1" zoomScaleNormal="100" workbookViewId="0">
      <selection sqref="A1:E1"/>
    </sheetView>
  </sheetViews>
  <sheetFormatPr baseColWidth="10" defaultColWidth="8.6640625" defaultRowHeight="15" x14ac:dyDescent="0.2"/>
  <cols>
    <col min="1" max="1" width="26" customWidth="1"/>
    <col min="2" max="2" width="16" customWidth="1"/>
    <col min="3" max="5" width="14" customWidth="1"/>
  </cols>
  <sheetData>
    <row r="1" spans="1:5" ht="20" x14ac:dyDescent="0.2">
      <c r="A1" s="29" t="s">
        <v>0</v>
      </c>
      <c r="B1" s="29"/>
      <c r="C1" s="29"/>
      <c r="D1" s="29"/>
      <c r="E1" s="29"/>
    </row>
    <row r="3" spans="1:5" x14ac:dyDescent="0.2">
      <c r="A3" s="1" t="s">
        <v>1</v>
      </c>
      <c r="B3" s="2">
        <v>46209</v>
      </c>
      <c r="C3" s="3" t="s">
        <v>2</v>
      </c>
    </row>
    <row r="5" spans="1:5" ht="16" x14ac:dyDescent="0.2">
      <c r="A5" s="4" t="s">
        <v>3</v>
      </c>
      <c r="B5" s="5">
        <f>'Suivi des phases'!E11</f>
        <v>0.12727272727272726</v>
      </c>
    </row>
    <row r="6" spans="1:5" ht="16" x14ac:dyDescent="0.2">
      <c r="A6" s="4" t="s">
        <v>4</v>
      </c>
      <c r="B6" s="6">
        <f>'Suivi des phases'!C11</f>
        <v>275</v>
      </c>
    </row>
    <row r="7" spans="1:5" ht="16" x14ac:dyDescent="0.2">
      <c r="A7" s="4" t="s">
        <v>5</v>
      </c>
      <c r="B7" s="6">
        <f>'Suivi des phases'!F11</f>
        <v>5.2</v>
      </c>
    </row>
    <row r="8" spans="1:5" ht="16" x14ac:dyDescent="0.2">
      <c r="A8" s="4" t="s">
        <v>6</v>
      </c>
      <c r="B8" s="6">
        <f>B6-B7</f>
        <v>269.8</v>
      </c>
    </row>
    <row r="9" spans="1:5" ht="16" x14ac:dyDescent="0.2">
      <c r="A9" s="4" t="s">
        <v>7</v>
      </c>
      <c r="B9" s="6">
        <f>COUNTIF('Suivi des phases'!D4:D10,"Termine")</f>
        <v>1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showGridLines="0" zoomScaleNormal="100" workbookViewId="0">
      <selection activeCell="D5" sqref="D5"/>
    </sheetView>
  </sheetViews>
  <sheetFormatPr baseColWidth="10" defaultColWidth="8.6640625" defaultRowHeight="15" x14ac:dyDescent="0.2"/>
  <cols>
    <col min="1" max="1" width="11" customWidth="1"/>
    <col min="2" max="2" width="46" customWidth="1"/>
    <col min="3" max="3" width="15" customWidth="1"/>
    <col min="4" max="4" width="12" customWidth="1"/>
    <col min="5" max="5" width="13" customWidth="1"/>
    <col min="6" max="8" width="15" customWidth="1"/>
  </cols>
  <sheetData>
    <row r="1" spans="1:8" ht="18" x14ac:dyDescent="0.2">
      <c r="A1" s="7" t="s">
        <v>8</v>
      </c>
    </row>
    <row r="3" spans="1:8" x14ac:dyDescent="0.2">
      <c r="A3" s="8" t="s">
        <v>9</v>
      </c>
      <c r="B3" s="8" t="s">
        <v>10</v>
      </c>
      <c r="C3" s="8" t="s">
        <v>11</v>
      </c>
      <c r="D3" s="8" t="s">
        <v>12</v>
      </c>
      <c r="E3" s="8" t="s">
        <v>13</v>
      </c>
      <c r="F3" s="8" t="s">
        <v>14</v>
      </c>
      <c r="G3" s="8" t="s">
        <v>15</v>
      </c>
      <c r="H3" s="8" t="s">
        <v>16</v>
      </c>
    </row>
    <row r="4" spans="1:8" ht="32" x14ac:dyDescent="0.2">
      <c r="A4" s="4" t="s">
        <v>17</v>
      </c>
      <c r="B4" s="9" t="s">
        <v>18</v>
      </c>
      <c r="C4" s="10">
        <v>15</v>
      </c>
      <c r="D4" s="10" t="s">
        <v>41</v>
      </c>
      <c r="E4" s="11">
        <f t="shared" ref="E4:E10" si="0">IF(D4="Termine",1,IF(D4="En cours",0.5,0))</f>
        <v>1</v>
      </c>
      <c r="F4" s="12">
        <f>SUMIF(Journal!$B$4:$B$203,A4,Journal!$D$4:$D$203)</f>
        <v>2</v>
      </c>
      <c r="G4" s="13">
        <f>'Tableau de bord'!$B$3+H4*7</f>
        <v>46223</v>
      </c>
      <c r="H4" s="10">
        <v>2</v>
      </c>
    </row>
    <row r="5" spans="1:8" ht="16" x14ac:dyDescent="0.2">
      <c r="A5" s="14" t="s">
        <v>20</v>
      </c>
      <c r="B5" s="15" t="s">
        <v>21</v>
      </c>
      <c r="C5" s="10">
        <v>40</v>
      </c>
      <c r="D5" s="10" t="s">
        <v>44</v>
      </c>
      <c r="E5" s="16">
        <f t="shared" si="0"/>
        <v>0.5</v>
      </c>
      <c r="F5" s="17">
        <f>SUMIF(Journal!$B$4:$B$203,A5,Journal!$D$4:$D$203)</f>
        <v>3.2</v>
      </c>
      <c r="G5" s="18">
        <f>'Tableau de bord'!$B$3+H5*7</f>
        <v>46251</v>
      </c>
      <c r="H5" s="10">
        <v>6</v>
      </c>
    </row>
    <row r="6" spans="1:8" ht="16" x14ac:dyDescent="0.2">
      <c r="A6" s="4" t="s">
        <v>22</v>
      </c>
      <c r="B6" s="9" t="s">
        <v>23</v>
      </c>
      <c r="C6" s="10">
        <v>45</v>
      </c>
      <c r="D6" s="10" t="s">
        <v>19</v>
      </c>
      <c r="E6" s="11">
        <f t="shared" si="0"/>
        <v>0</v>
      </c>
      <c r="F6" s="12">
        <f>SUMIF(Journal!$B$4:$B$203,A6,Journal!$D$4:$D$203)</f>
        <v>0</v>
      </c>
      <c r="G6" s="13">
        <f>'Tableau de bord'!$B$3+H6*7</f>
        <v>46279</v>
      </c>
      <c r="H6" s="10">
        <v>10</v>
      </c>
    </row>
    <row r="7" spans="1:8" ht="16" x14ac:dyDescent="0.2">
      <c r="A7" s="14" t="s">
        <v>24</v>
      </c>
      <c r="B7" s="15" t="s">
        <v>25</v>
      </c>
      <c r="C7" s="10">
        <v>45</v>
      </c>
      <c r="D7" s="10" t="s">
        <v>19</v>
      </c>
      <c r="E7" s="16">
        <f t="shared" si="0"/>
        <v>0</v>
      </c>
      <c r="F7" s="17">
        <f>SUMIF(Journal!$B$4:$B$203,A7,Journal!$D$4:$D$203)</f>
        <v>0</v>
      </c>
      <c r="G7" s="18">
        <f>'Tableau de bord'!$B$3+H7*7</f>
        <v>46307</v>
      </c>
      <c r="H7" s="10">
        <v>14</v>
      </c>
    </row>
    <row r="8" spans="1:8" ht="16" x14ac:dyDescent="0.2">
      <c r="A8" s="4" t="s">
        <v>26</v>
      </c>
      <c r="B8" s="9" t="s">
        <v>38</v>
      </c>
      <c r="C8" s="10">
        <v>45</v>
      </c>
      <c r="D8" s="10" t="s">
        <v>19</v>
      </c>
      <c r="E8" s="11">
        <f t="shared" si="0"/>
        <v>0</v>
      </c>
      <c r="F8" s="12">
        <f>SUMIF(Journal!$B$4:$B$203,A8,Journal!$D$4:$D$203)</f>
        <v>0</v>
      </c>
      <c r="G8" s="13">
        <f>'Tableau de bord'!$B$3+H8*7</f>
        <v>46335</v>
      </c>
      <c r="H8" s="10">
        <v>18</v>
      </c>
    </row>
    <row r="9" spans="1:8" ht="16" x14ac:dyDescent="0.2">
      <c r="A9" s="14" t="s">
        <v>27</v>
      </c>
      <c r="B9" s="15" t="s">
        <v>37</v>
      </c>
      <c r="C9" s="10">
        <v>45</v>
      </c>
      <c r="D9" s="10" t="s">
        <v>19</v>
      </c>
      <c r="E9" s="16">
        <f t="shared" si="0"/>
        <v>0</v>
      </c>
      <c r="F9" s="17">
        <f>SUMIF(Journal!$B$4:$B$203,A9,Journal!$D$4:$D$203)</f>
        <v>0</v>
      </c>
      <c r="G9" s="18">
        <f>'Tableau de bord'!$B$3+H9*7</f>
        <v>46363</v>
      </c>
      <c r="H9" s="10">
        <v>22</v>
      </c>
    </row>
    <row r="10" spans="1:8" ht="16" x14ac:dyDescent="0.2">
      <c r="A10" s="4" t="s">
        <v>28</v>
      </c>
      <c r="B10" s="9" t="s">
        <v>29</v>
      </c>
      <c r="C10" s="10">
        <v>40</v>
      </c>
      <c r="D10" s="10" t="s">
        <v>19</v>
      </c>
      <c r="E10" s="11">
        <f t="shared" si="0"/>
        <v>0</v>
      </c>
      <c r="F10" s="12">
        <f>SUMIF(Journal!$B$4:$B$203,A10,Journal!$D$4:$D$203)</f>
        <v>0</v>
      </c>
      <c r="G10" s="13">
        <f>'Tableau de bord'!$B$3+H10*7</f>
        <v>46391</v>
      </c>
      <c r="H10" s="10">
        <v>26</v>
      </c>
    </row>
    <row r="11" spans="1:8" x14ac:dyDescent="0.2">
      <c r="A11" s="19"/>
      <c r="B11" s="20" t="s">
        <v>30</v>
      </c>
      <c r="C11" s="21">
        <f>SUM(C4:C10)</f>
        <v>275</v>
      </c>
      <c r="D11" s="19"/>
      <c r="E11" s="22">
        <f>SUMPRODUCT(C4:C10,E4:E10)/SUM(C4:C10)</f>
        <v>0.12727272727272726</v>
      </c>
      <c r="F11" s="21">
        <f>SUM(F4:F10)</f>
        <v>5.2</v>
      </c>
      <c r="G11" s="19"/>
      <c r="H11" s="19"/>
    </row>
  </sheetData>
  <dataValidations count="1">
    <dataValidation type="list" sqref="D4:D10" xr:uid="{00000000-0002-0000-0100-000000000000}">
      <formula1>"A faire,En cours,Termine"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3"/>
  <sheetViews>
    <sheetView showGridLines="0" topLeftCell="B1" zoomScaleNormal="100" workbookViewId="0">
      <selection activeCell="E19" sqref="E19"/>
    </sheetView>
  </sheetViews>
  <sheetFormatPr baseColWidth="10" defaultColWidth="8.6640625" defaultRowHeight="15" x14ac:dyDescent="0.2"/>
  <cols>
    <col min="1" max="1" width="13" customWidth="1"/>
    <col min="2" max="2" width="12" customWidth="1"/>
    <col min="3" max="3" width="55.33203125" customWidth="1"/>
    <col min="4" max="4" width="9" customWidth="1"/>
    <col min="5" max="5" width="155.5" customWidth="1"/>
  </cols>
  <sheetData>
    <row r="1" spans="1:5" ht="18" x14ac:dyDescent="0.2">
      <c r="A1" s="7" t="s">
        <v>31</v>
      </c>
    </row>
    <row r="2" spans="1:5" x14ac:dyDescent="0.2">
      <c r="A2" s="3" t="s">
        <v>32</v>
      </c>
    </row>
    <row r="3" spans="1:5" x14ac:dyDescent="0.2">
      <c r="A3" s="8" t="s">
        <v>33</v>
      </c>
      <c r="B3" s="8" t="s">
        <v>9</v>
      </c>
      <c r="C3" s="8" t="s">
        <v>34</v>
      </c>
      <c r="D3" s="8" t="s">
        <v>35</v>
      </c>
      <c r="E3" s="8" t="s">
        <v>36</v>
      </c>
    </row>
    <row r="4" spans="1:5" x14ac:dyDescent="0.2">
      <c r="A4" s="23">
        <v>46209</v>
      </c>
      <c r="B4" s="24" t="s">
        <v>17</v>
      </c>
      <c r="C4" s="24" t="s">
        <v>39</v>
      </c>
      <c r="D4" s="25">
        <v>2</v>
      </c>
      <c r="E4" s="24" t="s">
        <v>40</v>
      </c>
    </row>
    <row r="5" spans="1:5" x14ac:dyDescent="0.2">
      <c r="A5" s="26">
        <v>46211</v>
      </c>
      <c r="B5" s="27" t="s">
        <v>20</v>
      </c>
      <c r="C5" s="27" t="s">
        <v>42</v>
      </c>
      <c r="D5" s="28">
        <v>2.2000000000000002</v>
      </c>
      <c r="E5" s="27" t="s">
        <v>43</v>
      </c>
    </row>
    <row r="6" spans="1:5" x14ac:dyDescent="0.2">
      <c r="A6" s="23">
        <v>46220</v>
      </c>
      <c r="B6" s="24" t="s">
        <v>20</v>
      </c>
      <c r="C6" s="27" t="s">
        <v>45</v>
      </c>
      <c r="D6" s="25">
        <v>1</v>
      </c>
      <c r="E6" s="24" t="s">
        <v>46</v>
      </c>
    </row>
    <row r="7" spans="1:5" x14ac:dyDescent="0.2">
      <c r="A7" s="26"/>
      <c r="B7" s="27"/>
      <c r="C7" s="27"/>
      <c r="D7" s="28"/>
      <c r="E7" s="27"/>
    </row>
    <row r="8" spans="1:5" x14ac:dyDescent="0.2">
      <c r="A8" s="23"/>
      <c r="B8" s="24"/>
      <c r="C8" s="24"/>
      <c r="D8" s="25"/>
      <c r="E8" s="24"/>
    </row>
    <row r="9" spans="1:5" x14ac:dyDescent="0.2">
      <c r="A9" s="26"/>
      <c r="B9" s="27"/>
      <c r="C9" s="27"/>
      <c r="D9" s="28"/>
      <c r="E9" s="27"/>
    </row>
    <row r="10" spans="1:5" x14ac:dyDescent="0.2">
      <c r="A10" s="23"/>
      <c r="B10" s="24"/>
      <c r="C10" s="24"/>
      <c r="D10" s="25"/>
      <c r="E10" s="24"/>
    </row>
    <row r="11" spans="1:5" x14ac:dyDescent="0.2">
      <c r="A11" s="26"/>
      <c r="B11" s="27"/>
      <c r="C11" s="27"/>
      <c r="D11" s="28"/>
      <c r="E11" s="27"/>
    </row>
    <row r="12" spans="1:5" x14ac:dyDescent="0.2">
      <c r="A12" s="23"/>
      <c r="B12" s="24"/>
      <c r="C12" s="24"/>
      <c r="D12" s="25"/>
      <c r="E12" s="24"/>
    </row>
    <row r="13" spans="1:5" x14ac:dyDescent="0.2">
      <c r="A13" s="26"/>
      <c r="B13" s="27"/>
      <c r="C13" s="27"/>
      <c r="D13" s="28"/>
      <c r="E13" s="27"/>
    </row>
    <row r="14" spans="1:5" x14ac:dyDescent="0.2">
      <c r="A14" s="23"/>
      <c r="B14" s="24"/>
      <c r="C14" s="24"/>
      <c r="D14" s="25"/>
      <c r="E14" s="24"/>
    </row>
    <row r="15" spans="1:5" x14ac:dyDescent="0.2">
      <c r="A15" s="26"/>
      <c r="B15" s="27"/>
      <c r="C15" s="27"/>
      <c r="D15" s="28"/>
      <c r="E15" s="27"/>
    </row>
    <row r="16" spans="1:5" x14ac:dyDescent="0.2">
      <c r="A16" s="23"/>
      <c r="B16" s="24"/>
      <c r="C16" s="24"/>
      <c r="D16" s="25"/>
      <c r="E16" s="24"/>
    </row>
    <row r="17" spans="1:5" x14ac:dyDescent="0.2">
      <c r="A17" s="26"/>
      <c r="B17" s="27"/>
      <c r="C17" s="27"/>
      <c r="D17" s="28"/>
      <c r="E17" s="27"/>
    </row>
    <row r="18" spans="1:5" x14ac:dyDescent="0.2">
      <c r="A18" s="23"/>
      <c r="B18" s="24"/>
      <c r="C18" s="24"/>
      <c r="D18" s="25"/>
      <c r="E18" s="24"/>
    </row>
    <row r="19" spans="1:5" x14ac:dyDescent="0.2">
      <c r="A19" s="26"/>
      <c r="B19" s="27"/>
      <c r="C19" s="27"/>
      <c r="D19" s="28"/>
      <c r="E19" s="27"/>
    </row>
    <row r="20" spans="1:5" x14ac:dyDescent="0.2">
      <c r="A20" s="23"/>
      <c r="B20" s="24"/>
      <c r="C20" s="24"/>
      <c r="D20" s="25"/>
      <c r="E20" s="24"/>
    </row>
    <row r="21" spans="1:5" x14ac:dyDescent="0.2">
      <c r="A21" s="26"/>
      <c r="B21" s="27"/>
      <c r="C21" s="27"/>
      <c r="D21" s="28"/>
      <c r="E21" s="27"/>
    </row>
    <row r="22" spans="1:5" x14ac:dyDescent="0.2">
      <c r="A22" s="23"/>
      <c r="B22" s="24"/>
      <c r="C22" s="24"/>
      <c r="D22" s="25"/>
      <c r="E22" s="24"/>
    </row>
    <row r="23" spans="1:5" x14ac:dyDescent="0.2">
      <c r="A23" s="26"/>
      <c r="B23" s="27"/>
      <c r="C23" s="27"/>
      <c r="D23" s="28"/>
      <c r="E23" s="27"/>
    </row>
    <row r="24" spans="1:5" x14ac:dyDescent="0.2">
      <c r="A24" s="23"/>
      <c r="B24" s="24"/>
      <c r="C24" s="24"/>
      <c r="D24" s="25"/>
      <c r="E24" s="24"/>
    </row>
    <row r="25" spans="1:5" x14ac:dyDescent="0.2">
      <c r="A25" s="26"/>
      <c r="B25" s="27"/>
      <c r="C25" s="27"/>
      <c r="D25" s="28"/>
      <c r="E25" s="27"/>
    </row>
    <row r="26" spans="1:5" x14ac:dyDescent="0.2">
      <c r="A26" s="23"/>
      <c r="B26" s="24"/>
      <c r="C26" s="24"/>
      <c r="D26" s="25"/>
      <c r="E26" s="24"/>
    </row>
    <row r="27" spans="1:5" x14ac:dyDescent="0.2">
      <c r="A27" s="26"/>
      <c r="B27" s="27"/>
      <c r="C27" s="27"/>
      <c r="D27" s="28"/>
      <c r="E27" s="27"/>
    </row>
    <row r="28" spans="1:5" x14ac:dyDescent="0.2">
      <c r="A28" s="23"/>
      <c r="B28" s="24"/>
      <c r="C28" s="24"/>
      <c r="D28" s="25"/>
      <c r="E28" s="24"/>
    </row>
    <row r="29" spans="1:5" x14ac:dyDescent="0.2">
      <c r="A29" s="26"/>
      <c r="B29" s="27"/>
      <c r="C29" s="27"/>
      <c r="D29" s="28"/>
      <c r="E29" s="27"/>
    </row>
    <row r="30" spans="1:5" x14ac:dyDescent="0.2">
      <c r="A30" s="23"/>
      <c r="B30" s="24"/>
      <c r="C30" s="24"/>
      <c r="D30" s="25"/>
      <c r="E30" s="24"/>
    </row>
    <row r="31" spans="1:5" x14ac:dyDescent="0.2">
      <c r="A31" s="26"/>
      <c r="B31" s="27"/>
      <c r="C31" s="27"/>
      <c r="D31" s="28"/>
      <c r="E31" s="27"/>
    </row>
    <row r="32" spans="1:5" x14ac:dyDescent="0.2">
      <c r="A32" s="23"/>
      <c r="B32" s="24"/>
      <c r="C32" s="24"/>
      <c r="D32" s="25"/>
      <c r="E32" s="24"/>
    </row>
    <row r="33" spans="1:5" x14ac:dyDescent="0.2">
      <c r="A33" s="26"/>
      <c r="B33" s="27"/>
      <c r="C33" s="27"/>
      <c r="D33" s="28"/>
      <c r="E33" s="27"/>
    </row>
    <row r="34" spans="1:5" x14ac:dyDescent="0.2">
      <c r="A34" s="23"/>
      <c r="B34" s="24"/>
      <c r="C34" s="24"/>
      <c r="D34" s="25"/>
      <c r="E34" s="24"/>
    </row>
    <row r="35" spans="1:5" x14ac:dyDescent="0.2">
      <c r="A35" s="26"/>
      <c r="B35" s="27"/>
      <c r="C35" s="27"/>
      <c r="D35" s="28"/>
      <c r="E35" s="27"/>
    </row>
    <row r="36" spans="1:5" x14ac:dyDescent="0.2">
      <c r="A36" s="23"/>
      <c r="B36" s="24"/>
      <c r="C36" s="24"/>
      <c r="D36" s="25"/>
      <c r="E36" s="24"/>
    </row>
    <row r="37" spans="1:5" x14ac:dyDescent="0.2">
      <c r="A37" s="26"/>
      <c r="B37" s="27"/>
      <c r="C37" s="27"/>
      <c r="D37" s="28"/>
      <c r="E37" s="27"/>
    </row>
    <row r="38" spans="1:5" x14ac:dyDescent="0.2">
      <c r="A38" s="23"/>
      <c r="B38" s="24"/>
      <c r="C38" s="24"/>
      <c r="D38" s="25"/>
      <c r="E38" s="24"/>
    </row>
    <row r="39" spans="1:5" x14ac:dyDescent="0.2">
      <c r="A39" s="26"/>
      <c r="B39" s="27"/>
      <c r="C39" s="27"/>
      <c r="D39" s="28"/>
      <c r="E39" s="27"/>
    </row>
    <row r="40" spans="1:5" x14ac:dyDescent="0.2">
      <c r="A40" s="23"/>
      <c r="B40" s="24"/>
      <c r="C40" s="24"/>
      <c r="D40" s="25"/>
      <c r="E40" s="24"/>
    </row>
    <row r="41" spans="1:5" x14ac:dyDescent="0.2">
      <c r="A41" s="26"/>
      <c r="B41" s="27"/>
      <c r="C41" s="27"/>
      <c r="D41" s="28"/>
      <c r="E41" s="27"/>
    </row>
    <row r="42" spans="1:5" x14ac:dyDescent="0.2">
      <c r="A42" s="23"/>
      <c r="B42" s="24"/>
      <c r="C42" s="24"/>
      <c r="D42" s="25"/>
      <c r="E42" s="24"/>
    </row>
    <row r="43" spans="1:5" x14ac:dyDescent="0.2">
      <c r="A43" s="26"/>
      <c r="B43" s="27"/>
      <c r="C43" s="27"/>
      <c r="D43" s="28"/>
      <c r="E43" s="27"/>
    </row>
    <row r="44" spans="1:5" x14ac:dyDescent="0.2">
      <c r="A44" s="23"/>
      <c r="B44" s="24"/>
      <c r="C44" s="24"/>
      <c r="D44" s="25"/>
      <c r="E44" s="24"/>
    </row>
    <row r="45" spans="1:5" x14ac:dyDescent="0.2">
      <c r="A45" s="26"/>
      <c r="B45" s="27"/>
      <c r="C45" s="27"/>
      <c r="D45" s="28"/>
      <c r="E45" s="27"/>
    </row>
    <row r="46" spans="1:5" x14ac:dyDescent="0.2">
      <c r="A46" s="23"/>
      <c r="B46" s="24"/>
      <c r="C46" s="24"/>
      <c r="D46" s="25"/>
      <c r="E46" s="24"/>
    </row>
    <row r="47" spans="1:5" x14ac:dyDescent="0.2">
      <c r="A47" s="26"/>
      <c r="B47" s="27"/>
      <c r="C47" s="27"/>
      <c r="D47" s="28"/>
      <c r="E47" s="27"/>
    </row>
    <row r="48" spans="1:5" x14ac:dyDescent="0.2">
      <c r="A48" s="23"/>
      <c r="B48" s="24"/>
      <c r="C48" s="24"/>
      <c r="D48" s="25"/>
      <c r="E48" s="24"/>
    </row>
    <row r="49" spans="1:5" x14ac:dyDescent="0.2">
      <c r="A49" s="26"/>
      <c r="B49" s="27"/>
      <c r="C49" s="27"/>
      <c r="D49" s="28"/>
      <c r="E49" s="27"/>
    </row>
    <row r="50" spans="1:5" x14ac:dyDescent="0.2">
      <c r="A50" s="23"/>
      <c r="B50" s="24"/>
      <c r="C50" s="24"/>
      <c r="D50" s="25"/>
      <c r="E50" s="24"/>
    </row>
    <row r="51" spans="1:5" x14ac:dyDescent="0.2">
      <c r="A51" s="26"/>
      <c r="B51" s="27"/>
      <c r="C51" s="27"/>
      <c r="D51" s="28"/>
      <c r="E51" s="27"/>
    </row>
    <row r="52" spans="1:5" x14ac:dyDescent="0.2">
      <c r="A52" s="23"/>
      <c r="B52" s="24"/>
      <c r="C52" s="24"/>
      <c r="D52" s="25"/>
      <c r="E52" s="24"/>
    </row>
    <row r="53" spans="1:5" x14ac:dyDescent="0.2">
      <c r="A53" s="26"/>
      <c r="B53" s="27"/>
      <c r="C53" s="27"/>
      <c r="D53" s="28"/>
      <c r="E53" s="27"/>
    </row>
  </sheetData>
  <dataValidations count="1">
    <dataValidation type="list" allowBlank="1" sqref="B4:B53" xr:uid="{00000000-0002-0000-0200-000000000000}">
      <formula1>"Phase 0,Phase 1,Phase 2,Phase 3,Phase 4,Phase 5,Phase 6"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Tableau de bord</vt:lpstr>
      <vt:lpstr>Suivi des phases</vt:lpstr>
      <vt:lpstr>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Ibrahim Mamane Altiné Bello</cp:lastModifiedBy>
  <cp:revision>1</cp:revision>
  <dcterms:created xsi:type="dcterms:W3CDTF">2026-07-05T10:34:32Z</dcterms:created>
  <dcterms:modified xsi:type="dcterms:W3CDTF">2026-08-04T05:24:34Z</dcterms:modified>
  <dc:language>en-US</dc:language>
</cp:coreProperties>
</file>